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公式说明" sheetId="1" state="visible" r:id="rId1"/>
    <sheet xmlns:r="http://schemas.openxmlformats.org/officeDocument/2006/relationships" name="二级部门离职率" sheetId="2" state="visible" r:id="rId2"/>
    <sheet xmlns:r="http://schemas.openxmlformats.org/officeDocument/2006/relationships" name="部门×原因交叉表" sheetId="3" state="visible" r:id="rId3"/>
    <sheet xmlns:r="http://schemas.openxmlformats.org/officeDocument/2006/relationships" name="离职原因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YaHei"/>
      <b val="1"/>
      <color rgb="001a1a2e"/>
      <sz val="14"/>
    </font>
    <font>
      <name val="Microsoft YaHei"/>
      <b val="1"/>
      <color rgb="00cc0000"/>
      <sz val="13"/>
    </font>
    <font>
      <name val="Microsoft YaHei"/>
      <b val="1"/>
      <color rgb="00333333"/>
      <sz val="11"/>
    </font>
    <font>
      <name val="Microsoft YaHei"/>
      <color rgb="00333333"/>
      <sz val="11"/>
    </font>
    <font>
      <name val="Microsoft YaHei"/>
      <b val="1"/>
      <color rgb="000066cc"/>
      <sz val="13"/>
    </font>
    <font>
      <name val="Microsoft YaHei"/>
      <b val="1"/>
      <color rgb="0000802b"/>
      <sz val="13"/>
    </font>
    <font>
      <name val="Microsoft YaHei"/>
      <b val="1"/>
      <color rgb="007b2ff7"/>
      <sz val="13"/>
    </font>
    <font>
      <name val="Microsoft YaHei"/>
      <i val="1"/>
      <color rgb="000066cc"/>
      <sz val="11"/>
    </font>
    <font>
      <name val="Microsoft YaHei"/>
      <b val="1"/>
      <color rgb="00FFFFFF"/>
      <sz val="12"/>
    </font>
    <font>
      <name val="Microsoft YaHei"/>
      <b val="1"/>
      <color rgb="00FF0000"/>
      <sz val="12"/>
    </font>
    <font>
      <name val="Microsoft YaHei"/>
      <b val="1"/>
      <color rgb="000066cc"/>
      <sz val="12"/>
    </font>
    <font>
      <name val="Microsoft YaHei"/>
      <b val="1"/>
      <color rgb="00cc0000"/>
      <sz val="11"/>
    </font>
  </fonts>
  <fills count="8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fcc"/>
        <bgColor rgb="00ffffcc"/>
      </patternFill>
    </fill>
    <fill>
      <patternFill patternType="solid">
        <fgColor rgb="00e8f4fd"/>
        <bgColor rgb="00e8f4fd"/>
      </patternFill>
    </fill>
    <fill>
      <patternFill patternType="solid">
        <fgColor rgb="00f0f4ff"/>
        <bgColor rgb="00f0f4ff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离职率计算公式说明</t>
        </is>
      </c>
    </row>
    <row r="3">
      <c r="A3" s="2" t="inlineStr">
        <is>
          <t>一、常用离职率计算公式</t>
        </is>
      </c>
    </row>
    <row r="5">
      <c r="A5" s="3" t="inlineStr">
        <is>
          <t>公式1: 离职率 = 离职人数 ÷ 期初在职人数 × 100%</t>
        </is>
      </c>
    </row>
    <row r="6">
      <c r="A6" s="4" t="inlineStr">
        <is>
          <t xml:space="preserve">   适用场景: 最常用，需要知道统计期初各部门在职总人数</t>
        </is>
      </c>
    </row>
    <row r="8">
      <c r="A8" s="3" t="inlineStr">
        <is>
          <t>公式2: 离职率 = 离职人数 ÷ ((期初人数 + 期末人数) ÷ 2) × 100%</t>
        </is>
      </c>
    </row>
    <row r="9">
      <c r="A9" s="4" t="inlineStr">
        <is>
          <t xml:space="preserve">   适用场景: 更准确，用平均人数做分母，消除期间波动</t>
        </is>
      </c>
    </row>
    <row r="11">
      <c r="A11" s="3" t="inlineStr">
        <is>
          <t>公式3: 离职率 = 离职人数 ÷ (期初人数 + 新入职人数) × 100%</t>
        </is>
      </c>
    </row>
    <row r="12">
      <c r="A12" s="4" t="inlineStr">
        <is>
          <t xml:space="preserve">   适用场景: 考虑新入职因素，分母为期间经历过的总人数</t>
        </is>
      </c>
    </row>
    <row r="14">
      <c r="A14" s="5" t="inlineStr">
        <is>
          <t>二、本表使用方法</t>
        </is>
      </c>
    </row>
    <row r="16">
      <c r="A16" s="4" t="inlineStr">
        <is>
          <t>本表已按二级部门统计离职人数，并预留了"期初在职人数"列供您填写。</t>
        </is>
      </c>
    </row>
    <row r="17">
      <c r="A17" s="4" t="inlineStr">
        <is>
          <t>填写后，离职率会自动通过 Excel 公式计算（= 离职人数 ÷ 期初在职人数 × 100%）。</t>
        </is>
      </c>
    </row>
    <row r="19">
      <c r="A19" s="6" t="inlineStr">
        <is>
          <t>三、本表包含的离职占比</t>
        </is>
      </c>
    </row>
    <row r="21">
      <c r="A21" s="3" t="inlineStr">
        <is>
          <t>"离职占比" = 该部门离职人数 ÷ 全公司总离职人数 × 100%</t>
        </is>
      </c>
    </row>
    <row r="22">
      <c r="A22" s="4" t="inlineStr">
        <is>
          <t xml:space="preserve">   这不是离职率，仅反映该部门在所有离职中占的比例。</t>
        </is>
      </c>
    </row>
    <row r="24">
      <c r="A24" s="7" t="inlineStr">
        <is>
          <t>四、数据来源</t>
        </is>
      </c>
    </row>
    <row r="25">
      <c r="A25" s="4" t="inlineStr">
        <is>
          <t>源文件: 工作簿1.xlsx，共 126 条离职记录</t>
        </is>
      </c>
    </row>
    <row r="26">
      <c r="A26" s="4" t="inlineStr">
        <is>
          <t>主动离职: 114 人, 被动离职: 12 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2" customWidth="1" min="4" max="4"/>
    <col width="18" customWidth="1" min="5" max="5"/>
    <col width="16" customWidth="1" min="6" max="6"/>
    <col width="10" customWidth="1" min="7" max="7"/>
    <col width="10" customWidth="1" min="8" max="8"/>
  </cols>
  <sheetData>
    <row r="1">
      <c r="A1" s="1" t="inlineStr">
        <is>
          <t>按二级部门统计离职率</t>
        </is>
      </c>
    </row>
    <row r="2">
      <c r="A2" s="8" t="inlineStr">
        <is>
          <t>请在E列填写各部门期初在职人数，F列离职率将自动计算</t>
        </is>
      </c>
    </row>
    <row r="4">
      <c r="A4" s="9" t="inlineStr">
        <is>
          <t>一级部门</t>
        </is>
      </c>
      <c r="B4" s="9" t="inlineStr">
        <is>
          <t>二级部门</t>
        </is>
      </c>
      <c r="C4" s="9" t="inlineStr">
        <is>
          <t>离职人数</t>
        </is>
      </c>
      <c r="D4" s="9" t="inlineStr">
        <is>
          <t>离职占比</t>
        </is>
      </c>
      <c r="E4" s="10" t="inlineStr">
        <is>
          <t>期初在职人数
(请填写)</t>
        </is>
      </c>
      <c r="F4" s="11" t="inlineStr">
        <is>
          <t>离职率
(自动计算)</t>
        </is>
      </c>
      <c r="G4" s="9" t="inlineStr">
        <is>
          <t>主动离职</t>
        </is>
      </c>
      <c r="H4" s="9" t="inlineStr">
        <is>
          <t>被动离职</t>
        </is>
      </c>
    </row>
    <row r="5">
      <c r="A5" s="12" t="inlineStr">
        <is>
          <t>产品研发总院</t>
        </is>
      </c>
      <c r="B5" s="13" t="inlineStr">
        <is>
          <t>BHSS/NEP</t>
        </is>
      </c>
      <c r="C5" s="13" t="n">
        <v>31</v>
      </c>
      <c r="D5" s="13" t="n">
        <v>24.6</v>
      </c>
      <c r="E5" s="14" t="n"/>
      <c r="F5" s="15">
        <f>IF(E5="","待填写",ROUND(C5/E5*100,1)&amp;"%")</f>
        <v/>
      </c>
      <c r="G5" s="13" t="n">
        <v>29</v>
      </c>
      <c r="H5" s="13" t="n">
        <v>2</v>
      </c>
    </row>
    <row r="6">
      <c r="A6" s="16" t="inlineStr">
        <is>
          <t>产品研发总院</t>
        </is>
      </c>
      <c r="B6" s="17" t="inlineStr">
        <is>
          <t>BHSS/NEY</t>
        </is>
      </c>
      <c r="C6" s="17" t="n">
        <v>11</v>
      </c>
      <c r="D6" s="17" t="n">
        <v>8.699999999999999</v>
      </c>
      <c r="E6" s="14" t="n"/>
      <c r="F6" s="15">
        <f>IF(E6="","待填写",ROUND(C6/E6*100,1)&amp;"%")</f>
        <v/>
      </c>
      <c r="G6" s="17" t="n">
        <v>13</v>
      </c>
      <c r="H6" s="17" t="n">
        <v>-2</v>
      </c>
    </row>
    <row r="7">
      <c r="A7" s="12" t="inlineStr">
        <is>
          <t>产品研发总院</t>
        </is>
      </c>
      <c r="B7" s="13" t="inlineStr">
        <is>
          <t>BHSS/NEC1</t>
        </is>
      </c>
      <c r="C7" s="13" t="n">
        <v>11</v>
      </c>
      <c r="D7" s="13" t="n">
        <v>8.699999999999999</v>
      </c>
      <c r="E7" s="14" t="n"/>
      <c r="F7" s="15">
        <f>IF(E7="","待填写",ROUND(C7/E7*100,1)&amp;"%")</f>
        <v/>
      </c>
      <c r="G7" s="13" t="n">
        <v>11</v>
      </c>
      <c r="H7" s="13" t="n">
        <v>0</v>
      </c>
    </row>
    <row r="8">
      <c r="A8" s="16" t="inlineStr">
        <is>
          <t>产品研发总院</t>
        </is>
      </c>
      <c r="B8" s="17" t="inlineStr">
        <is>
          <t>BHSS/NEM</t>
        </is>
      </c>
      <c r="C8" s="17" t="n">
        <v>9</v>
      </c>
      <c r="D8" s="17" t="n">
        <v>7.1</v>
      </c>
      <c r="E8" s="14" t="n"/>
      <c r="F8" s="15">
        <f>IF(E8="","待填写",ROUND(C8/E8*100,1)&amp;"%")</f>
        <v/>
      </c>
      <c r="G8" s="17" t="n">
        <v>8</v>
      </c>
      <c r="H8" s="17" t="n">
        <v>1</v>
      </c>
    </row>
    <row r="9">
      <c r="A9" s="12" t="inlineStr">
        <is>
          <t>产品研发总院</t>
        </is>
      </c>
      <c r="B9" s="13" t="inlineStr">
        <is>
          <t>BHSS/NEF</t>
        </is>
      </c>
      <c r="C9" s="13" t="n">
        <v>8</v>
      </c>
      <c r="D9" s="13" t="n">
        <v>6.3</v>
      </c>
      <c r="E9" s="14" t="n"/>
      <c r="F9" s="15">
        <f>IF(E9="","待填写",ROUND(C9/E9*100,1)&amp;"%")</f>
        <v/>
      </c>
      <c r="G9" s="13" t="n">
        <v>7</v>
      </c>
      <c r="H9" s="13" t="n">
        <v>1</v>
      </c>
    </row>
    <row r="10">
      <c r="A10" s="16" t="inlineStr">
        <is>
          <t>产品研发总院</t>
        </is>
      </c>
      <c r="B10" s="17" t="inlineStr">
        <is>
          <t>BHSS/NEH</t>
        </is>
      </c>
      <c r="C10" s="17" t="n">
        <v>6</v>
      </c>
      <c r="D10" s="17" t="n">
        <v>4.8</v>
      </c>
      <c r="E10" s="14" t="n"/>
      <c r="F10" s="15">
        <f>IF(E10="","待填写",ROUND(C10/E10*100,1)&amp;"%")</f>
        <v/>
      </c>
      <c r="G10" s="17" t="n">
        <v>6</v>
      </c>
      <c r="H10" s="17" t="n">
        <v>0</v>
      </c>
    </row>
    <row r="11">
      <c r="A11" s="12" t="inlineStr">
        <is>
          <t>产品研发总院</t>
        </is>
      </c>
      <c r="B11" s="13" t="inlineStr">
        <is>
          <t>BHSS/NEV</t>
        </is>
      </c>
      <c r="C11" s="13" t="n">
        <v>5</v>
      </c>
      <c r="D11" s="13" t="n">
        <v>4</v>
      </c>
      <c r="E11" s="14" t="n"/>
      <c r="F11" s="15">
        <f>IF(E11="","待填写",ROUND(C11/E11*100,1)&amp;"%")</f>
        <v/>
      </c>
      <c r="G11" s="13" t="n">
        <v>5</v>
      </c>
      <c r="H11" s="13" t="n">
        <v>0</v>
      </c>
    </row>
    <row r="12">
      <c r="A12" s="16" t="inlineStr">
        <is>
          <t>产品研发总院</t>
        </is>
      </c>
      <c r="B12" s="17" t="inlineStr">
        <is>
          <t>BHSS/NEC2</t>
        </is>
      </c>
      <c r="C12" s="17" t="n">
        <v>1</v>
      </c>
      <c r="D12" s="17" t="n">
        <v>0.8</v>
      </c>
      <c r="E12" s="14" t="n"/>
      <c r="F12" s="15">
        <f>IF(E12="","待填写",ROUND(C12/E12*100,1)&amp;"%")</f>
        <v/>
      </c>
      <c r="G12" s="17" t="n">
        <v>1</v>
      </c>
      <c r="H12" s="17" t="n">
        <v>0</v>
      </c>
    </row>
    <row r="13">
      <c r="A13" s="12" t="inlineStr">
        <is>
          <t>产品研发总院</t>
        </is>
      </c>
      <c r="B13" s="13" t="inlineStr">
        <is>
          <t>BHSS/NEO</t>
        </is>
      </c>
      <c r="C13" s="13" t="n">
        <v>1</v>
      </c>
      <c r="D13" s="13" t="n">
        <v>0.8</v>
      </c>
      <c r="E13" s="14" t="n"/>
      <c r="F13" s="15">
        <f>IF(E13="","待填写",ROUND(C13/E13*100,1)&amp;"%")</f>
        <v/>
      </c>
      <c r="G13" s="13" t="n">
        <v>1</v>
      </c>
      <c r="H13" s="13" t="n">
        <v>0</v>
      </c>
    </row>
    <row r="14">
      <c r="A14" s="18" t="inlineStr">
        <is>
          <t>【产品研发总院 小计】</t>
        </is>
      </c>
      <c r="B14" s="19" t="inlineStr"/>
      <c r="C14" s="19" t="n">
        <v>83</v>
      </c>
      <c r="D14" s="19" t="n">
        <v>65.90000000000001</v>
      </c>
      <c r="E14" s="19" t="n"/>
      <c r="F14" s="19">
        <f>IF(E14="","待填写",ROUND(C14/E14*100,1)&amp;"%")</f>
        <v/>
      </c>
      <c r="G14" s="19" t="n">
        <v>74</v>
      </c>
      <c r="H14" s="19" t="n">
        <v>9</v>
      </c>
    </row>
    <row r="15">
      <c r="A15" s="12" t="inlineStr">
        <is>
          <t>产品研发部</t>
        </is>
      </c>
      <c r="B15" s="13" t="inlineStr">
        <is>
          <t>BHSS/NES</t>
        </is>
      </c>
      <c r="C15" s="13" t="n">
        <v>11</v>
      </c>
      <c r="D15" s="13" t="n">
        <v>8.699999999999999</v>
      </c>
      <c r="E15" s="14" t="n"/>
      <c r="F15" s="15">
        <f>IF(E15="","待填写",ROUND(C15/E15*100,1)&amp;"%")</f>
        <v/>
      </c>
      <c r="G15" s="13" t="n">
        <v>11</v>
      </c>
      <c r="H15" s="13" t="n">
        <v>0</v>
      </c>
    </row>
    <row r="16">
      <c r="A16" s="16" t="inlineStr">
        <is>
          <t>产品研发部</t>
        </is>
      </c>
      <c r="B16" s="17" t="inlineStr">
        <is>
          <t>BHSS/NEY</t>
        </is>
      </c>
      <c r="C16" s="17" t="n">
        <v>2</v>
      </c>
      <c r="D16" s="17" t="n">
        <v>1.6</v>
      </c>
      <c r="E16" s="14" t="n"/>
      <c r="F16" s="15">
        <f>IF(E16="","待填写",ROUND(C16/E16*100,1)&amp;"%")</f>
        <v/>
      </c>
      <c r="G16" s="17" t="n">
        <v>13</v>
      </c>
      <c r="H16" s="17" t="n">
        <v>-11</v>
      </c>
    </row>
    <row r="17">
      <c r="A17" s="12" t="inlineStr">
        <is>
          <t>产品研发部</t>
        </is>
      </c>
      <c r="B17" s="13" t="inlineStr">
        <is>
          <t>BHSS/NEH</t>
        </is>
      </c>
      <c r="C17" s="13" t="n">
        <v>1</v>
      </c>
      <c r="D17" s="13" t="n">
        <v>0.8</v>
      </c>
      <c r="E17" s="14" t="n"/>
      <c r="F17" s="15">
        <f>IF(E17="","待填写",ROUND(C17/E17*100,1)&amp;"%")</f>
        <v/>
      </c>
      <c r="G17" s="13" t="n">
        <v>6</v>
      </c>
      <c r="H17" s="13" t="n">
        <v>-5</v>
      </c>
    </row>
    <row r="18">
      <c r="A18" s="16" t="inlineStr">
        <is>
          <t>产品研发部</t>
        </is>
      </c>
      <c r="B18" s="17" t="inlineStr">
        <is>
          <t>BHSS/NEV</t>
        </is>
      </c>
      <c r="C18" s="17" t="n">
        <v>1</v>
      </c>
      <c r="D18" s="17" t="n">
        <v>0.8</v>
      </c>
      <c r="E18" s="14" t="n"/>
      <c r="F18" s="15">
        <f>IF(E18="","待填写",ROUND(C18/E18*100,1)&amp;"%")</f>
        <v/>
      </c>
      <c r="G18" s="17" t="n">
        <v>5</v>
      </c>
      <c r="H18" s="17" t="n">
        <v>-4</v>
      </c>
    </row>
    <row r="19">
      <c r="A19" s="12" t="inlineStr">
        <is>
          <t>产品研发部</t>
        </is>
      </c>
      <c r="B19" s="13" t="inlineStr">
        <is>
          <t>BHSS/NEM</t>
        </is>
      </c>
      <c r="C19" s="13" t="n">
        <v>1</v>
      </c>
      <c r="D19" s="13" t="n">
        <v>0.8</v>
      </c>
      <c r="E19" s="14" t="n"/>
      <c r="F19" s="15">
        <f>IF(E19="","待填写",ROUND(C19/E19*100,1)&amp;"%")</f>
        <v/>
      </c>
      <c r="G19" s="13" t="n">
        <v>8</v>
      </c>
      <c r="H19" s="13" t="n">
        <v>-7</v>
      </c>
    </row>
    <row r="20">
      <c r="A20" s="16" t="inlineStr">
        <is>
          <t>产品研发部</t>
        </is>
      </c>
      <c r="B20" s="17" t="inlineStr">
        <is>
          <t>BHSS/NEC1</t>
        </is>
      </c>
      <c r="C20" s="17" t="n">
        <v>1</v>
      </c>
      <c r="D20" s="17" t="n">
        <v>0.8</v>
      </c>
      <c r="E20" s="14" t="n"/>
      <c r="F20" s="15">
        <f>IF(E20="","待填写",ROUND(C20/E20*100,1)&amp;"%")</f>
        <v/>
      </c>
      <c r="G20" s="17" t="n">
        <v>11</v>
      </c>
      <c r="H20" s="17" t="n">
        <v>-10</v>
      </c>
    </row>
    <row r="21">
      <c r="A21" s="12" t="inlineStr">
        <is>
          <t>产品研发部</t>
        </is>
      </c>
      <c r="B21" s="13" t="inlineStr">
        <is>
          <t>BHSS/NEC2</t>
        </is>
      </c>
      <c r="C21" s="13" t="n">
        <v>1</v>
      </c>
      <c r="D21" s="13" t="n">
        <v>0.8</v>
      </c>
      <c r="E21" s="14" t="n"/>
      <c r="F21" s="15">
        <f>IF(E21="","待填写",ROUND(C21/E21*100,1)&amp;"%")</f>
        <v/>
      </c>
      <c r="G21" s="13" t="n">
        <v>1</v>
      </c>
      <c r="H21" s="13" t="n">
        <v>0</v>
      </c>
    </row>
    <row r="22">
      <c r="A22" s="18" t="inlineStr">
        <is>
          <t>【产品研发部 小计】</t>
        </is>
      </c>
      <c r="B22" s="19" t="inlineStr"/>
      <c r="C22" s="19" t="n">
        <v>18</v>
      </c>
      <c r="D22" s="19" t="n">
        <v>14.3</v>
      </c>
      <c r="E22" s="19" t="n"/>
      <c r="F22" s="19">
        <f>IF(E22="","待填写",ROUND(C22/E22*100,1)&amp;"%")</f>
        <v/>
      </c>
      <c r="G22" s="19" t="n">
        <v>18</v>
      </c>
      <c r="H22" s="19" t="n">
        <v>0</v>
      </c>
    </row>
    <row r="23">
      <c r="A23" s="12" t="inlineStr">
        <is>
          <t>市场营销部</t>
        </is>
      </c>
      <c r="B23" s="13" t="inlineStr">
        <is>
          <t>BHSS/SAS1</t>
        </is>
      </c>
      <c r="C23" s="13" t="n">
        <v>4</v>
      </c>
      <c r="D23" s="13" t="n">
        <v>3.2</v>
      </c>
      <c r="E23" s="14" t="n"/>
      <c r="F23" s="15">
        <f>IF(E23="","待填写",ROUND(C23/E23*100,1)&amp;"%")</f>
        <v/>
      </c>
      <c r="G23" s="13" t="n">
        <v>4</v>
      </c>
      <c r="H23" s="13" t="n">
        <v>0</v>
      </c>
    </row>
    <row r="24">
      <c r="A24" s="16" t="inlineStr">
        <is>
          <t>市场营销部</t>
        </is>
      </c>
      <c r="B24" s="17" t="inlineStr">
        <is>
          <t>BHSS/SAS2</t>
        </is>
      </c>
      <c r="C24" s="17" t="n">
        <v>2</v>
      </c>
      <c r="D24" s="17" t="n">
        <v>1.6</v>
      </c>
      <c r="E24" s="14" t="n"/>
      <c r="F24" s="15">
        <f>IF(E24="","待填写",ROUND(C24/E24*100,1)&amp;"%")</f>
        <v/>
      </c>
      <c r="G24" s="17" t="n">
        <v>1</v>
      </c>
      <c r="H24" s="17" t="n">
        <v>1</v>
      </c>
    </row>
    <row r="25">
      <c r="A25" s="12" t="inlineStr">
        <is>
          <t>市场营销部</t>
        </is>
      </c>
      <c r="B25" s="13" t="inlineStr">
        <is>
          <t>BHSS/SAS3</t>
        </is>
      </c>
      <c r="C25" s="13" t="n">
        <v>2</v>
      </c>
      <c r="D25" s="13" t="n">
        <v>1.6</v>
      </c>
      <c r="E25" s="14" t="n"/>
      <c r="F25" s="15">
        <f>IF(E25="","待填写",ROUND(C25/E25*100,1)&amp;"%")</f>
        <v/>
      </c>
      <c r="G25" s="13" t="n">
        <v>1</v>
      </c>
      <c r="H25" s="13" t="n">
        <v>1</v>
      </c>
    </row>
    <row r="26">
      <c r="A26" s="18" t="inlineStr">
        <is>
          <t>【市场营销部 小计】</t>
        </is>
      </c>
      <c r="B26" s="19" t="inlineStr"/>
      <c r="C26" s="19" t="n">
        <v>8</v>
      </c>
      <c r="D26" s="19" t="n">
        <v>6.3</v>
      </c>
      <c r="E26" s="19" t="n"/>
      <c r="F26" s="19">
        <f>IF(E26="","待填写",ROUND(C26/E26*100,1)&amp;"%")</f>
        <v/>
      </c>
      <c r="G26" s="19" t="n">
        <v>6</v>
      </c>
      <c r="H26" s="19" t="n">
        <v>2</v>
      </c>
    </row>
    <row r="27">
      <c r="A27" s="12" t="inlineStr">
        <is>
          <t>上海工厂</t>
        </is>
      </c>
      <c r="B27" s="13" t="inlineStr">
        <is>
          <t>ShP/MFU</t>
        </is>
      </c>
      <c r="C27" s="13" t="n">
        <v>2</v>
      </c>
      <c r="D27" s="13" t="n">
        <v>1.6</v>
      </c>
      <c r="E27" s="14" t="n"/>
      <c r="F27" s="15">
        <f>IF(E27="","待填写",ROUND(C27/E27*100,1)&amp;"%")</f>
        <v/>
      </c>
      <c r="G27" s="13" t="n">
        <v>1</v>
      </c>
      <c r="H27" s="13" t="n">
        <v>1</v>
      </c>
    </row>
    <row r="28">
      <c r="A28" s="16" t="inlineStr">
        <is>
          <t>上海工厂</t>
        </is>
      </c>
      <c r="B28" s="17" t="inlineStr">
        <is>
          <t>ShP</t>
        </is>
      </c>
      <c r="C28" s="17" t="n">
        <v>2</v>
      </c>
      <c r="D28" s="17" t="n">
        <v>1.6</v>
      </c>
      <c r="E28" s="14" t="n"/>
      <c r="F28" s="15">
        <f>IF(E28="","待填写",ROUND(C28/E28*100,1)&amp;"%")</f>
        <v/>
      </c>
      <c r="G28" s="17" t="n">
        <v>2</v>
      </c>
      <c r="H28" s="17" t="n">
        <v>0</v>
      </c>
    </row>
    <row r="29">
      <c r="A29" s="18" t="inlineStr">
        <is>
          <t>【上海工厂 小计】</t>
        </is>
      </c>
      <c r="B29" s="19" t="inlineStr"/>
      <c r="C29" s="19" t="n">
        <v>4</v>
      </c>
      <c r="D29" s="19" t="n">
        <v>3.2</v>
      </c>
      <c r="E29" s="19" t="n"/>
      <c r="F29" s="19">
        <f>IF(E29="","待填写",ROUND(C29/E29*100,1)&amp;"%")</f>
        <v/>
      </c>
      <c r="G29" s="19" t="n">
        <v>3</v>
      </c>
      <c r="H29" s="19" t="n">
        <v>1</v>
      </c>
    </row>
    <row r="30">
      <c r="A30" s="16" t="inlineStr">
        <is>
          <t>采购部</t>
        </is>
      </c>
      <c r="B30" s="17" t="inlineStr">
        <is>
          <t>BHSS/PUP2</t>
        </is>
      </c>
      <c r="C30" s="17" t="n">
        <v>2</v>
      </c>
      <c r="D30" s="17" t="n">
        <v>1.6</v>
      </c>
      <c r="E30" s="14" t="n"/>
      <c r="F30" s="15">
        <f>IF(E30="","待填写",ROUND(C30/E30*100,1)&amp;"%")</f>
        <v/>
      </c>
      <c r="G30" s="17" t="n">
        <v>2</v>
      </c>
      <c r="H30" s="17" t="n">
        <v>0</v>
      </c>
    </row>
    <row r="31">
      <c r="A31" s="12" t="inlineStr">
        <is>
          <t>采购部</t>
        </is>
      </c>
      <c r="B31" s="13" t="inlineStr">
        <is>
          <t>BHSS/PUP1</t>
        </is>
      </c>
      <c r="C31" s="13" t="n">
        <v>1</v>
      </c>
      <c r="D31" s="13" t="n">
        <v>0.8</v>
      </c>
      <c r="E31" s="14" t="n"/>
      <c r="F31" s="15">
        <f>IF(E31="","待填写",ROUND(C31/E31*100,1)&amp;"%")</f>
        <v/>
      </c>
      <c r="G31" s="13" t="n">
        <v>1</v>
      </c>
      <c r="H31" s="13" t="n">
        <v>0</v>
      </c>
    </row>
    <row r="32">
      <c r="A32" s="18" t="inlineStr">
        <is>
          <t>【采购部 小计】</t>
        </is>
      </c>
      <c r="B32" s="19" t="inlineStr"/>
      <c r="C32" s="19" t="n">
        <v>3</v>
      </c>
      <c r="D32" s="19" t="n">
        <v>2.4</v>
      </c>
      <c r="E32" s="19" t="n"/>
      <c r="F32" s="19">
        <f>IF(E32="","待填写",ROUND(C32/E32*100,1)&amp;"%")</f>
        <v/>
      </c>
      <c r="G32" s="19" t="n">
        <v>3</v>
      </c>
      <c r="H32" s="19" t="n">
        <v>0</v>
      </c>
    </row>
    <row r="33">
      <c r="A33" s="12" t="inlineStr">
        <is>
          <t>质量保证部</t>
        </is>
      </c>
      <c r="B33" s="13" t="inlineStr">
        <is>
          <t>BHSS/QMC</t>
        </is>
      </c>
      <c r="C33" s="13" t="n">
        <v>2</v>
      </c>
      <c r="D33" s="13" t="n">
        <v>1.6</v>
      </c>
      <c r="E33" s="14" t="n"/>
      <c r="F33" s="15">
        <f>IF(E33="","待填写",ROUND(C33/E33*100,1)&amp;"%")</f>
        <v/>
      </c>
      <c r="G33" s="13" t="n">
        <v>2</v>
      </c>
      <c r="H33" s="13" t="n">
        <v>0</v>
      </c>
    </row>
    <row r="34">
      <c r="A34" s="18" t="inlineStr">
        <is>
          <t>【质量保证部 小计】</t>
        </is>
      </c>
      <c r="B34" s="19" t="inlineStr"/>
      <c r="C34" s="19" t="n">
        <v>2</v>
      </c>
      <c r="D34" s="19" t="n">
        <v>1.6</v>
      </c>
      <c r="E34" s="19" t="n"/>
      <c r="F34" s="19">
        <f>IF(E34="","待填写",ROUND(C34/E34*100,1)&amp;"%")</f>
        <v/>
      </c>
      <c r="G34" s="19" t="n">
        <v>2</v>
      </c>
      <c r="H34" s="19" t="n">
        <v>0</v>
      </c>
    </row>
    <row r="35">
      <c r="A35" s="12" t="inlineStr">
        <is>
          <t>人力资源与行政部</t>
        </is>
      </c>
      <c r="B35" s="13" t="inlineStr">
        <is>
          <t>BHSS/HAL</t>
        </is>
      </c>
      <c r="C35" s="13" t="n">
        <v>1</v>
      </c>
      <c r="D35" s="13" t="n">
        <v>0.8</v>
      </c>
      <c r="E35" s="14" t="n"/>
      <c r="F35" s="15">
        <f>IF(E35="","待填写",ROUND(C35/E35*100,1)&amp;"%")</f>
        <v/>
      </c>
      <c r="G35" s="13" t="n">
        <v>1</v>
      </c>
      <c r="H35" s="13" t="n">
        <v>0</v>
      </c>
    </row>
    <row r="36">
      <c r="A36" s="16" t="inlineStr">
        <is>
          <t>人力资源与行政部</t>
        </is>
      </c>
      <c r="B36" s="17" t="inlineStr">
        <is>
          <t>BHSS/HAS</t>
        </is>
      </c>
      <c r="C36" s="17" t="n">
        <v>1</v>
      </c>
      <c r="D36" s="17" t="n">
        <v>0.8</v>
      </c>
      <c r="E36" s="14" t="n"/>
      <c r="F36" s="15">
        <f>IF(E36="","待填写",ROUND(C36/E36*100,1)&amp;"%")</f>
        <v/>
      </c>
      <c r="G36" s="17" t="n">
        <v>1</v>
      </c>
      <c r="H36" s="17" t="n">
        <v>0</v>
      </c>
    </row>
    <row r="37">
      <c r="A37" s="18" t="inlineStr">
        <is>
          <t>【人力资源与行政部 小计】</t>
        </is>
      </c>
      <c r="B37" s="19" t="inlineStr"/>
      <c r="C37" s="19" t="n">
        <v>2</v>
      </c>
      <c r="D37" s="19" t="n">
        <v>1.6</v>
      </c>
      <c r="E37" s="19" t="n"/>
      <c r="F37" s="19">
        <f>IF(E37="","待填写",ROUND(C37/E37*100,1)&amp;"%")</f>
        <v/>
      </c>
      <c r="G37" s="19" t="n">
        <v>2</v>
      </c>
      <c r="H37" s="19" t="n">
        <v>0</v>
      </c>
    </row>
    <row r="38">
      <c r="A38" s="16" t="inlineStr">
        <is>
          <t>财务部</t>
        </is>
      </c>
      <c r="B38" s="17" t="inlineStr">
        <is>
          <t>BHSS/FCR</t>
        </is>
      </c>
      <c r="C38" s="17" t="n">
        <v>1</v>
      </c>
      <c r="D38" s="17" t="n">
        <v>0.8</v>
      </c>
      <c r="E38" s="14" t="n"/>
      <c r="F38" s="15">
        <f>IF(E38="","待填写",ROUND(C38/E38*100,1)&amp;"%")</f>
        <v/>
      </c>
      <c r="G38" s="17" t="n">
        <v>1</v>
      </c>
      <c r="H38" s="17" t="n">
        <v>0</v>
      </c>
    </row>
    <row r="39">
      <c r="A39" s="12" t="inlineStr">
        <is>
          <t>财务部</t>
        </is>
      </c>
      <c r="B39" s="13" t="inlineStr">
        <is>
          <t>BHSS/FCC</t>
        </is>
      </c>
      <c r="C39" s="13" t="n">
        <v>1</v>
      </c>
      <c r="D39" s="13" t="n">
        <v>0.8</v>
      </c>
      <c r="E39" s="14" t="n"/>
      <c r="F39" s="15">
        <f>IF(E39="","待填写",ROUND(C39/E39*100,1)&amp;"%")</f>
        <v/>
      </c>
      <c r="G39" s="13" t="n">
        <v>1</v>
      </c>
      <c r="H39" s="13" t="n">
        <v>0</v>
      </c>
    </row>
    <row r="40">
      <c r="A40" s="18" t="inlineStr">
        <is>
          <t>【财务部 小计】</t>
        </is>
      </c>
      <c r="B40" s="19" t="inlineStr"/>
      <c r="C40" s="19" t="n">
        <v>2</v>
      </c>
      <c r="D40" s="19" t="n">
        <v>1.6</v>
      </c>
      <c r="E40" s="19" t="n"/>
      <c r="F40" s="19">
        <f>IF(E40="","待填写",ROUND(C40/E40*100,1)&amp;"%")</f>
        <v/>
      </c>
      <c r="G40" s="19" t="n">
        <v>2</v>
      </c>
      <c r="H40" s="19" t="n">
        <v>0</v>
      </c>
    </row>
    <row r="41">
      <c r="A41" s="12" t="inlineStr">
        <is>
          <t>项目管理部</t>
        </is>
      </c>
      <c r="B41" s="13" t="inlineStr">
        <is>
          <t>BHSS/PM</t>
        </is>
      </c>
      <c r="C41" s="13" t="n">
        <v>1</v>
      </c>
      <c r="D41" s="13" t="n">
        <v>0.8</v>
      </c>
      <c r="E41" s="14" t="n"/>
      <c r="F41" s="15">
        <f>IF(E41="","待填写",ROUND(C41/E41*100,1)&amp;"%")</f>
        <v/>
      </c>
      <c r="G41" s="13" t="n">
        <v>1</v>
      </c>
      <c r="H41" s="13" t="n">
        <v>0</v>
      </c>
    </row>
    <row r="42">
      <c r="A42" s="18" t="inlineStr">
        <is>
          <t>【项目管理部 小计】</t>
        </is>
      </c>
      <c r="B42" s="19" t="inlineStr"/>
      <c r="C42" s="19" t="n">
        <v>1</v>
      </c>
      <c r="D42" s="19" t="n">
        <v>0.8</v>
      </c>
      <c r="E42" s="19" t="n"/>
      <c r="F42" s="19">
        <f>IF(E42="","待填写",ROUND(C42/E42*100,1)&amp;"%")</f>
        <v/>
      </c>
      <c r="G42" s="19" t="n">
        <v>1</v>
      </c>
      <c r="H42" s="19" t="n">
        <v>0</v>
      </c>
    </row>
    <row r="43">
      <c r="A43" s="12" t="inlineStr">
        <is>
          <t>生产运营部</t>
        </is>
      </c>
      <c r="B43" s="13" t="inlineStr">
        <is>
          <t>BHSS/TO</t>
        </is>
      </c>
      <c r="C43" s="13" t="n">
        <v>1</v>
      </c>
      <c r="D43" s="13" t="n">
        <v>0.8</v>
      </c>
      <c r="E43" s="14" t="n"/>
      <c r="F43" s="15">
        <f>IF(E43="","待填写",ROUND(C43/E43*100,1)&amp;"%")</f>
        <v/>
      </c>
      <c r="G43" s="13" t="n">
        <v>1</v>
      </c>
      <c r="H43" s="13" t="n">
        <v>0</v>
      </c>
    </row>
    <row r="44">
      <c r="A44" s="18" t="inlineStr">
        <is>
          <t>【生产运营部 小计】</t>
        </is>
      </c>
      <c r="B44" s="19" t="inlineStr"/>
      <c r="C44" s="19" t="n">
        <v>1</v>
      </c>
      <c r="D44" s="19" t="n">
        <v>0.8</v>
      </c>
      <c r="E44" s="19" t="n"/>
      <c r="F44" s="19">
        <f>IF(E44="","待填写",ROUND(C44/E44*100,1)&amp;"%")</f>
        <v/>
      </c>
      <c r="G44" s="19" t="n">
        <v>1</v>
      </c>
      <c r="H44" s="19" t="n">
        <v>0</v>
      </c>
    </row>
    <row r="45">
      <c r="A45" s="12" t="inlineStr">
        <is>
          <t>信息技术部</t>
        </is>
      </c>
      <c r="B45" s="13" t="inlineStr">
        <is>
          <t>BHSS/ITM</t>
        </is>
      </c>
      <c r="C45" s="13" t="n">
        <v>1</v>
      </c>
      <c r="D45" s="13" t="n">
        <v>0.8</v>
      </c>
      <c r="E45" s="14" t="n"/>
      <c r="F45" s="15">
        <f>IF(E45="","待填写",ROUND(C45/E45*100,1)&amp;"%")</f>
        <v/>
      </c>
      <c r="G45" s="13" t="n">
        <v>1</v>
      </c>
      <c r="H45" s="13" t="n">
        <v>0</v>
      </c>
    </row>
    <row r="46">
      <c r="A46" s="18" t="inlineStr">
        <is>
          <t>【信息技术部 小计】</t>
        </is>
      </c>
      <c r="B46" s="19" t="inlineStr"/>
      <c r="C46" s="19" t="n">
        <v>1</v>
      </c>
      <c r="D46" s="19" t="n">
        <v>0.8</v>
      </c>
      <c r="E46" s="19" t="n"/>
      <c r="F46" s="19">
        <f>IF(E46="","待填写",ROUND(C46/E46*100,1)&amp;"%")</f>
        <v/>
      </c>
      <c r="G46" s="19" t="n">
        <v>1</v>
      </c>
      <c r="H46" s="19" t="n">
        <v>0</v>
      </c>
    </row>
    <row r="47">
      <c r="A47" s="12" t="inlineStr">
        <is>
          <t>内审法务科</t>
        </is>
      </c>
      <c r="B47" s="13" t="inlineStr">
        <is>
          <t>BHSS/CLA</t>
        </is>
      </c>
      <c r="C47" s="13" t="n">
        <v>1</v>
      </c>
      <c r="D47" s="13" t="n">
        <v>0.8</v>
      </c>
      <c r="E47" s="14" t="n"/>
      <c r="F47" s="15">
        <f>IF(E47="","待填写",ROUND(C47/E47*100,1)&amp;"%")</f>
        <v/>
      </c>
      <c r="G47" s="13" t="n">
        <v>1</v>
      </c>
      <c r="H47" s="13" t="n">
        <v>0</v>
      </c>
    </row>
    <row r="48">
      <c r="A48" s="18" t="inlineStr">
        <is>
          <t>【内审法务科 小计】</t>
        </is>
      </c>
      <c r="B48" s="19" t="inlineStr"/>
      <c r="C48" s="19" t="n">
        <v>1</v>
      </c>
      <c r="D48" s="19" t="n">
        <v>0.8</v>
      </c>
      <c r="E48" s="19" t="n"/>
      <c r="F48" s="19">
        <f>IF(E48="","待填写",ROUND(C48/E48*100,1)&amp;"%")</f>
        <v/>
      </c>
      <c r="G48" s="19" t="n">
        <v>1</v>
      </c>
      <c r="H48" s="19" t="n">
        <v>0</v>
      </c>
    </row>
    <row r="49">
      <c r="A49" s="20" t="inlineStr">
        <is>
          <t>【总计】</t>
        </is>
      </c>
      <c r="B49" s="21" t="n"/>
      <c r="C49" s="21" t="n">
        <v>126</v>
      </c>
      <c r="D49" s="21" t="n">
        <v>100</v>
      </c>
      <c r="E49" s="21" t="n"/>
      <c r="F49" s="21">
        <f>IF(E49="","待填写",ROUND(C49/E49*100,1)&amp;"%")</f>
        <v/>
      </c>
      <c r="G49" s="21" t="n">
        <v>114</v>
      </c>
      <c r="H49" s="21" t="n">
        <v>12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二级部门 × 离职原因 交叉统计</t>
        </is>
      </c>
    </row>
    <row r="3">
      <c r="A3" s="9" t="inlineStr">
        <is>
          <t>二级部门</t>
        </is>
      </c>
      <c r="B3" s="9" t="inlineStr">
        <is>
          <t>薪资福利</t>
        </is>
      </c>
      <c r="C3" s="9" t="inlineStr">
        <is>
          <t>个人发展</t>
        </is>
      </c>
      <c r="D3" s="9" t="inlineStr">
        <is>
          <t>家庭</t>
        </is>
      </c>
      <c r="E3" s="9" t="inlineStr">
        <is>
          <t>被动（协商解除）</t>
        </is>
      </c>
      <c r="F3" s="9" t="inlineStr">
        <is>
          <t>待聊</t>
        </is>
      </c>
      <c r="G3" s="9" t="inlineStr">
        <is>
          <t>主动劳动合同不续签</t>
        </is>
      </c>
      <c r="H3" s="9" t="inlineStr">
        <is>
          <t>其他（学历深造/创业等）</t>
        </is>
      </c>
      <c r="I3" s="9" t="inlineStr">
        <is>
          <t>上下级沟通</t>
        </is>
      </c>
      <c r="J3" s="9" t="inlineStr">
        <is>
          <t>/</t>
        </is>
      </c>
      <c r="K3" s="9" t="inlineStr">
        <is>
          <t>健康</t>
        </is>
      </c>
      <c r="L3" s="9" t="inlineStr">
        <is>
          <t>被动（劳动合同期满不续签）</t>
        </is>
      </c>
      <c r="M3" s="9" t="inlineStr">
        <is>
          <t>交通</t>
        </is>
      </c>
      <c r="N3" s="9" t="inlineStr">
        <is>
          <t>合计</t>
        </is>
      </c>
    </row>
    <row r="4">
      <c r="A4" s="16" t="inlineStr">
        <is>
          <t>BHSS/NEP</t>
        </is>
      </c>
      <c r="B4" s="17" t="n">
        <v>10</v>
      </c>
      <c r="C4" s="17" t="n">
        <v>11</v>
      </c>
      <c r="D4" s="17" t="n">
        <v>2</v>
      </c>
      <c r="E4" s="17" t="inlineStr"/>
      <c r="F4" s="17" t="n">
        <v>2</v>
      </c>
      <c r="G4" s="17" t="n">
        <v>1</v>
      </c>
      <c r="H4" s="17" t="n">
        <v>2</v>
      </c>
      <c r="I4" s="17" t="n">
        <v>1</v>
      </c>
      <c r="J4" s="17" t="inlineStr"/>
      <c r="K4" s="17" t="n">
        <v>2</v>
      </c>
      <c r="L4" s="17" t="inlineStr"/>
      <c r="M4" s="17" t="inlineStr"/>
      <c r="N4" s="17" t="n">
        <v>31</v>
      </c>
    </row>
    <row r="5">
      <c r="A5" s="12" t="inlineStr">
        <is>
          <t>BHSS/NEY</t>
        </is>
      </c>
      <c r="B5" s="13" t="n">
        <v>6</v>
      </c>
      <c r="C5" s="13" t="n">
        <v>5</v>
      </c>
      <c r="D5" s="13" t="inlineStr"/>
      <c r="E5" s="13" t="n">
        <v>1</v>
      </c>
      <c r="F5" s="13" t="inlineStr"/>
      <c r="G5" s="13" t="n">
        <v>1</v>
      </c>
      <c r="H5" s="13" t="inlineStr"/>
      <c r="I5" s="13" t="inlineStr"/>
      <c r="J5" s="13" t="inlineStr"/>
      <c r="K5" s="13" t="inlineStr"/>
      <c r="L5" s="13" t="inlineStr"/>
      <c r="M5" s="13" t="inlineStr"/>
      <c r="N5" s="13" t="n">
        <v>13</v>
      </c>
    </row>
    <row r="6">
      <c r="A6" s="16" t="inlineStr">
        <is>
          <t>BHSS/NEC1</t>
        </is>
      </c>
      <c r="B6" s="17" t="n">
        <v>4</v>
      </c>
      <c r="C6" s="17" t="n">
        <v>3</v>
      </c>
      <c r="D6" s="17" t="n">
        <v>2</v>
      </c>
      <c r="E6" s="17" t="inlineStr"/>
      <c r="F6" s="17" t="n">
        <v>1</v>
      </c>
      <c r="G6" s="17" t="inlineStr"/>
      <c r="H6" s="17" t="inlineStr"/>
      <c r="I6" s="17" t="inlineStr"/>
      <c r="J6" s="17" t="n">
        <v>1</v>
      </c>
      <c r="K6" s="17" t="inlineStr"/>
      <c r="L6" s="17" t="n">
        <v>1</v>
      </c>
      <c r="M6" s="17" t="inlineStr"/>
      <c r="N6" s="17" t="n">
        <v>12</v>
      </c>
    </row>
    <row r="7">
      <c r="A7" s="12" t="inlineStr">
        <is>
          <t>BHSS/NES</t>
        </is>
      </c>
      <c r="B7" s="13" t="n">
        <v>8</v>
      </c>
      <c r="C7" s="13" t="n">
        <v>1</v>
      </c>
      <c r="D7" s="13" t="n">
        <v>1</v>
      </c>
      <c r="E7" s="13" t="inlineStr"/>
      <c r="F7" s="13" t="n">
        <v>1</v>
      </c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n">
        <v>11</v>
      </c>
    </row>
    <row r="8">
      <c r="A8" s="16" t="inlineStr">
        <is>
          <t>BHSS/NEM</t>
        </is>
      </c>
      <c r="B8" s="17" t="n">
        <v>6</v>
      </c>
      <c r="C8" s="17" t="n">
        <v>2</v>
      </c>
      <c r="D8" s="17" t="inlineStr"/>
      <c r="E8" s="17" t="n">
        <v>1</v>
      </c>
      <c r="F8" s="17" t="inlineStr"/>
      <c r="G8" s="17" t="inlineStr"/>
      <c r="H8" s="17" t="inlineStr"/>
      <c r="I8" s="17" t="inlineStr"/>
      <c r="J8" s="17" t="inlineStr"/>
      <c r="K8" s="17" t="inlineStr"/>
      <c r="L8" s="17" t="n">
        <v>1</v>
      </c>
      <c r="M8" s="17" t="inlineStr"/>
      <c r="N8" s="17" t="n">
        <v>10</v>
      </c>
    </row>
    <row r="9">
      <c r="A9" s="12" t="inlineStr">
        <is>
          <t>BHSS/NEF</t>
        </is>
      </c>
      <c r="B9" s="13" t="n">
        <v>5</v>
      </c>
      <c r="C9" s="13" t="n">
        <v>1</v>
      </c>
      <c r="D9" s="13" t="n">
        <v>2</v>
      </c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n">
        <v>8</v>
      </c>
    </row>
    <row r="10">
      <c r="A10" s="16" t="inlineStr">
        <is>
          <t>BHSS/NEH</t>
        </is>
      </c>
      <c r="B10" s="17" t="n">
        <v>4</v>
      </c>
      <c r="C10" s="17" t="n">
        <v>2</v>
      </c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n">
        <v>1</v>
      </c>
      <c r="N10" s="17" t="n">
        <v>7</v>
      </c>
    </row>
    <row r="11">
      <c r="A11" s="12" t="inlineStr">
        <is>
          <t>BHSS/NEV</t>
        </is>
      </c>
      <c r="B11" s="13" t="n">
        <v>2</v>
      </c>
      <c r="C11" s="13" t="n">
        <v>2</v>
      </c>
      <c r="D11" s="13" t="inlineStr"/>
      <c r="E11" s="13" t="inlineStr"/>
      <c r="F11" s="13" t="inlineStr"/>
      <c r="G11" s="13" t="n">
        <v>1</v>
      </c>
      <c r="H11" s="13" t="inlineStr"/>
      <c r="I11" s="13" t="n">
        <v>1</v>
      </c>
      <c r="J11" s="13" t="inlineStr"/>
      <c r="K11" s="13" t="inlineStr"/>
      <c r="L11" s="13" t="inlineStr"/>
      <c r="M11" s="13" t="inlineStr"/>
      <c r="N11" s="13" t="n">
        <v>6</v>
      </c>
    </row>
    <row r="12">
      <c r="A12" s="16" t="inlineStr">
        <is>
          <t>BHSS/SAS1</t>
        </is>
      </c>
      <c r="B12" s="17" t="inlineStr"/>
      <c r="C12" s="17" t="n">
        <v>4</v>
      </c>
      <c r="D12" s="17" t="inlineStr"/>
      <c r="E12" s="17" t="inlineStr"/>
      <c r="F12" s="17" t="inlineStr"/>
      <c r="G12" s="17" t="inlineStr"/>
      <c r="H12" s="17" t="inlineStr"/>
      <c r="I12" s="17" t="inlineStr"/>
      <c r="J12" s="17" t="inlineStr"/>
      <c r="K12" s="17" t="inlineStr"/>
      <c r="L12" s="17" t="inlineStr"/>
      <c r="M12" s="17" t="inlineStr"/>
      <c r="N12" s="17" t="n">
        <v>4</v>
      </c>
    </row>
    <row r="13">
      <c r="A13" s="12" t="inlineStr">
        <is>
          <t>BHSS/SAS2</t>
        </is>
      </c>
      <c r="B13" s="13" t="n">
        <v>1</v>
      </c>
      <c r="C13" s="13" t="inlineStr"/>
      <c r="D13" s="13" t="inlineStr"/>
      <c r="E13" s="13" t="n">
        <v>1</v>
      </c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n">
        <v>2</v>
      </c>
    </row>
    <row r="14">
      <c r="A14" s="16" t="inlineStr">
        <is>
          <t>BHSS/QMC</t>
        </is>
      </c>
      <c r="B14" s="17" t="n">
        <v>1</v>
      </c>
      <c r="C14" s="17" t="n">
        <v>1</v>
      </c>
      <c r="D14" s="17" t="inlineStr"/>
      <c r="E14" s="17" t="inlineStr"/>
      <c r="F14" s="17" t="inlineStr"/>
      <c r="G14" s="17" t="inlineStr"/>
      <c r="H14" s="17" t="inlineStr"/>
      <c r="I14" s="17" t="inlineStr"/>
      <c r="J14" s="17" t="inlineStr"/>
      <c r="K14" s="17" t="inlineStr"/>
      <c r="L14" s="17" t="inlineStr"/>
      <c r="M14" s="17" t="inlineStr"/>
      <c r="N14" s="17" t="n">
        <v>2</v>
      </c>
    </row>
    <row r="15">
      <c r="A15" s="12" t="inlineStr">
        <is>
          <t>BHSS/PUP2</t>
        </is>
      </c>
      <c r="B15" s="13" t="n">
        <v>2</v>
      </c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n">
        <v>2</v>
      </c>
    </row>
    <row r="16">
      <c r="A16" s="16" t="inlineStr">
        <is>
          <t>ShP/MFU</t>
        </is>
      </c>
      <c r="B16" s="17" t="n">
        <v>1</v>
      </c>
      <c r="C16" s="17" t="inlineStr"/>
      <c r="D16" s="17" t="inlineStr"/>
      <c r="E16" s="17" t="n">
        <v>1</v>
      </c>
      <c r="F16" s="17" t="inlineStr"/>
      <c r="G16" s="17" t="inlineStr"/>
      <c r="H16" s="17" t="inlineStr"/>
      <c r="I16" s="17" t="inlineStr"/>
      <c r="J16" s="17" t="inlineStr"/>
      <c r="K16" s="17" t="inlineStr"/>
      <c r="L16" s="17" t="inlineStr"/>
      <c r="M16" s="17" t="inlineStr"/>
      <c r="N16" s="17" t="n">
        <v>2</v>
      </c>
    </row>
    <row r="17">
      <c r="A17" s="12" t="inlineStr">
        <is>
          <t>BHSS/SAS3</t>
        </is>
      </c>
      <c r="B17" s="13" t="inlineStr"/>
      <c r="C17" s="13" t="n">
        <v>1</v>
      </c>
      <c r="D17" s="13" t="inlineStr"/>
      <c r="E17" s="13" t="n">
        <v>1</v>
      </c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n">
        <v>2</v>
      </c>
    </row>
    <row r="18">
      <c r="A18" s="16" t="inlineStr">
        <is>
          <t>BHSS/NEC2</t>
        </is>
      </c>
      <c r="B18" s="17" t="n">
        <v>1</v>
      </c>
      <c r="C18" s="17" t="inlineStr"/>
      <c r="D18" s="17" t="inlineStr"/>
      <c r="E18" s="17" t="n">
        <v>1</v>
      </c>
      <c r="F18" s="17" t="inlineStr"/>
      <c r="G18" s="17" t="inlineStr"/>
      <c r="H18" s="17" t="inlineStr"/>
      <c r="I18" s="17" t="inlineStr"/>
      <c r="J18" s="17" t="inlineStr"/>
      <c r="K18" s="17" t="inlineStr"/>
      <c r="L18" s="17" t="inlineStr"/>
      <c r="M18" s="17" t="inlineStr"/>
      <c r="N18" s="17" t="n">
        <v>2</v>
      </c>
    </row>
    <row r="19">
      <c r="A19" s="12" t="inlineStr">
        <is>
          <t>ShP</t>
        </is>
      </c>
      <c r="B19" s="13" t="inlineStr"/>
      <c r="C19" s="13" t="n">
        <v>2</v>
      </c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n">
        <v>2</v>
      </c>
    </row>
    <row r="20">
      <c r="A20" s="16" t="inlineStr">
        <is>
          <t>BHSS/PM</t>
        </is>
      </c>
      <c r="B20" s="17" t="n">
        <v>1</v>
      </c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7" t="inlineStr"/>
      <c r="L20" s="17" t="inlineStr"/>
      <c r="M20" s="17" t="inlineStr"/>
      <c r="N20" s="17" t="n">
        <v>1</v>
      </c>
    </row>
    <row r="21">
      <c r="A21" s="12" t="inlineStr">
        <is>
          <t>BHSS/HAL</t>
        </is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n">
        <v>1</v>
      </c>
      <c r="K21" s="13" t="inlineStr"/>
      <c r="L21" s="13" t="inlineStr"/>
      <c r="M21" s="13" t="inlineStr"/>
      <c r="N21" s="13" t="n">
        <v>1</v>
      </c>
    </row>
    <row r="22">
      <c r="A22" s="16" t="inlineStr">
        <is>
          <t>BHSS/TO</t>
        </is>
      </c>
      <c r="B22" s="17" t="inlineStr"/>
      <c r="C22" s="17" t="n">
        <v>1</v>
      </c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  <c r="K22" s="17" t="inlineStr"/>
      <c r="L22" s="17" t="inlineStr"/>
      <c r="M22" s="17" t="inlineStr"/>
      <c r="N22" s="17" t="n">
        <v>1</v>
      </c>
    </row>
    <row r="23">
      <c r="A23" s="12" t="inlineStr">
        <is>
          <t>BHSS/ITM</t>
        </is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n">
        <v>1</v>
      </c>
      <c r="I23" s="13" t="inlineStr"/>
      <c r="J23" s="13" t="inlineStr"/>
      <c r="K23" s="13" t="inlineStr"/>
      <c r="L23" s="13" t="inlineStr"/>
      <c r="M23" s="13" t="inlineStr"/>
      <c r="N23" s="13" t="n">
        <v>1</v>
      </c>
    </row>
    <row r="24">
      <c r="A24" s="16" t="inlineStr">
        <is>
          <t>BHSS/NEO</t>
        </is>
      </c>
      <c r="B24" s="17" t="inlineStr"/>
      <c r="C24" s="17" t="inlineStr"/>
      <c r="D24" s="17" t="inlineStr"/>
      <c r="E24" s="17" t="inlineStr"/>
      <c r="F24" s="17" t="inlineStr"/>
      <c r="G24" s="17" t="n">
        <v>1</v>
      </c>
      <c r="H24" s="17" t="inlineStr"/>
      <c r="I24" s="17" t="inlineStr"/>
      <c r="J24" s="17" t="inlineStr"/>
      <c r="K24" s="17" t="inlineStr"/>
      <c r="L24" s="17" t="inlineStr"/>
      <c r="M24" s="17" t="inlineStr"/>
      <c r="N24" s="17" t="n">
        <v>1</v>
      </c>
    </row>
    <row r="25">
      <c r="A25" s="12" t="inlineStr">
        <is>
          <t>BHSS/PUP1</t>
        </is>
      </c>
      <c r="B25" s="13" t="inlineStr"/>
      <c r="C25" s="13" t="n">
        <v>1</v>
      </c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n">
        <v>1</v>
      </c>
    </row>
    <row r="26">
      <c r="A26" s="16" t="inlineStr">
        <is>
          <t>BHSS/FCR</t>
        </is>
      </c>
      <c r="B26" s="17" t="inlineStr"/>
      <c r="C26" s="17" t="n">
        <v>1</v>
      </c>
      <c r="D26" s="17" t="inlineStr"/>
      <c r="E26" s="17" t="inlineStr"/>
      <c r="F26" s="17" t="inlineStr"/>
      <c r="G26" s="17" t="inlineStr"/>
      <c r="H26" s="17" t="inlineStr"/>
      <c r="I26" s="17" t="inlineStr"/>
      <c r="J26" s="17" t="inlineStr"/>
      <c r="K26" s="17" t="inlineStr"/>
      <c r="L26" s="17" t="inlineStr"/>
      <c r="M26" s="17" t="inlineStr"/>
      <c r="N26" s="17" t="n">
        <v>1</v>
      </c>
    </row>
    <row r="27">
      <c r="A27" s="12" t="inlineStr">
        <is>
          <t>BHSS/CLA</t>
        </is>
      </c>
      <c r="B27" s="13" t="n">
        <v>1</v>
      </c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  <c r="M27" s="13" t="inlineStr"/>
      <c r="N27" s="13" t="n">
        <v>1</v>
      </c>
    </row>
    <row r="28">
      <c r="A28" s="16" t="inlineStr">
        <is>
          <t>BHSS/HAS</t>
        </is>
      </c>
      <c r="B28" s="17" t="inlineStr"/>
      <c r="C28" s="17" t="n">
        <v>1</v>
      </c>
      <c r="D28" s="17" t="inlineStr"/>
      <c r="E28" s="17" t="inlineStr"/>
      <c r="F28" s="17" t="inlineStr"/>
      <c r="G28" s="17" t="inlineStr"/>
      <c r="H28" s="17" t="inlineStr"/>
      <c r="I28" s="17" t="inlineStr"/>
      <c r="J28" s="17" t="inlineStr"/>
      <c r="K28" s="17" t="inlineStr"/>
      <c r="L28" s="17" t="inlineStr"/>
      <c r="M28" s="17" t="inlineStr"/>
      <c r="N28" s="17" t="n">
        <v>1</v>
      </c>
    </row>
    <row r="29">
      <c r="A29" s="12" t="inlineStr">
        <is>
          <t>BHSS/FCC</t>
        </is>
      </c>
      <c r="B29" s="13" t="inlineStr"/>
      <c r="C29" s="13" t="inlineStr"/>
      <c r="D29" s="13" t="inlineStr"/>
      <c r="E29" s="13" t="inlineStr"/>
      <c r="F29" s="13" t="n">
        <v>1</v>
      </c>
      <c r="G29" s="13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n">
        <v>1</v>
      </c>
    </row>
    <row r="30">
      <c r="A30" s="20" t="inlineStr">
        <is>
          <t>合计</t>
        </is>
      </c>
      <c r="B30" s="21" t="n">
        <v>53</v>
      </c>
      <c r="C30" s="21" t="n">
        <v>39</v>
      </c>
      <c r="D30" s="21" t="n">
        <v>7</v>
      </c>
      <c r="E30" s="21" t="n">
        <v>6</v>
      </c>
      <c r="F30" s="21" t="n">
        <v>5</v>
      </c>
      <c r="G30" s="21" t="n">
        <v>4</v>
      </c>
      <c r="H30" s="21" t="n">
        <v>3</v>
      </c>
      <c r="I30" s="21" t="n">
        <v>2</v>
      </c>
      <c r="J30" s="21" t="n">
        <v>2</v>
      </c>
      <c r="K30" s="21" t="n">
        <v>2</v>
      </c>
      <c r="L30" s="21" t="n">
        <v>2</v>
      </c>
      <c r="M30" s="21" t="n">
        <v>1</v>
      </c>
      <c r="N30" s="21" t="n">
        <v>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1" t="inlineStr">
        <is>
          <t>离职原因分布</t>
        </is>
      </c>
    </row>
    <row r="3">
      <c r="A3" s="9" t="inlineStr">
        <is>
          <t>离职原因</t>
        </is>
      </c>
      <c r="B3" s="9" t="inlineStr">
        <is>
          <t>人数</t>
        </is>
      </c>
      <c r="C3" s="9" t="inlineStr">
        <is>
          <t>占比</t>
        </is>
      </c>
    </row>
    <row r="4">
      <c r="A4" s="22" t="inlineStr">
        <is>
          <t>薪资福利</t>
        </is>
      </c>
      <c r="B4" s="23" t="n">
        <v>53</v>
      </c>
      <c r="C4" s="23" t="inlineStr">
        <is>
          <t>42.1%</t>
        </is>
      </c>
    </row>
    <row r="5">
      <c r="A5" s="12" t="inlineStr">
        <is>
          <t>个人发展</t>
        </is>
      </c>
      <c r="B5" s="13" t="n">
        <v>39</v>
      </c>
      <c r="C5" s="13" t="inlineStr">
        <is>
          <t>31.0%</t>
        </is>
      </c>
    </row>
    <row r="6">
      <c r="A6" s="16" t="inlineStr">
        <is>
          <t>家庭</t>
        </is>
      </c>
      <c r="B6" s="17" t="n">
        <v>7</v>
      </c>
      <c r="C6" s="17" t="inlineStr">
        <is>
          <t>5.6%</t>
        </is>
      </c>
    </row>
    <row r="7">
      <c r="A7" s="12" t="inlineStr">
        <is>
          <t>被动（协商解除）</t>
        </is>
      </c>
      <c r="B7" s="13" t="n">
        <v>6</v>
      </c>
      <c r="C7" s="13" t="inlineStr">
        <is>
          <t>4.8%</t>
        </is>
      </c>
    </row>
    <row r="8">
      <c r="A8" s="16" t="inlineStr">
        <is>
          <t>待聊</t>
        </is>
      </c>
      <c r="B8" s="17" t="n">
        <v>5</v>
      </c>
      <c r="C8" s="17" t="inlineStr">
        <is>
          <t>4.0%</t>
        </is>
      </c>
    </row>
    <row r="9">
      <c r="A9" s="12" t="inlineStr">
        <is>
          <t>主动劳动合同不续签</t>
        </is>
      </c>
      <c r="B9" s="13" t="n">
        <v>4</v>
      </c>
      <c r="C9" s="13" t="inlineStr">
        <is>
          <t>3.2%</t>
        </is>
      </c>
    </row>
    <row r="10">
      <c r="A10" s="16" t="inlineStr">
        <is>
          <t>其他（学历深造/创业等）</t>
        </is>
      </c>
      <c r="B10" s="17" t="n">
        <v>3</v>
      </c>
      <c r="C10" s="17" t="inlineStr">
        <is>
          <t>2.4%</t>
        </is>
      </c>
    </row>
    <row r="11">
      <c r="A11" s="12" t="inlineStr">
        <is>
          <t>上下级沟通</t>
        </is>
      </c>
      <c r="B11" s="13" t="n">
        <v>2</v>
      </c>
      <c r="C11" s="13" t="inlineStr">
        <is>
          <t>1.6%</t>
        </is>
      </c>
    </row>
    <row r="12">
      <c r="A12" s="16" t="inlineStr">
        <is>
          <t>/</t>
        </is>
      </c>
      <c r="B12" s="17" t="n">
        <v>2</v>
      </c>
      <c r="C12" s="17" t="inlineStr">
        <is>
          <t>1.6%</t>
        </is>
      </c>
    </row>
    <row r="13">
      <c r="A13" s="12" t="inlineStr">
        <is>
          <t>健康</t>
        </is>
      </c>
      <c r="B13" s="13" t="n">
        <v>2</v>
      </c>
      <c r="C13" s="13" t="inlineStr">
        <is>
          <t>1.6%</t>
        </is>
      </c>
    </row>
    <row r="14">
      <c r="A14" s="16" t="inlineStr">
        <is>
          <t>被动（劳动合同期满不续签）</t>
        </is>
      </c>
      <c r="B14" s="17" t="n">
        <v>2</v>
      </c>
      <c r="C14" s="17" t="inlineStr">
        <is>
          <t>1.6%</t>
        </is>
      </c>
    </row>
    <row r="15">
      <c r="A15" s="12" t="inlineStr">
        <is>
          <t>交通</t>
        </is>
      </c>
      <c r="B15" s="13" t="n">
        <v>1</v>
      </c>
      <c r="C15" s="13" t="inlineStr">
        <is>
          <t>0.8%</t>
        </is>
      </c>
    </row>
    <row r="16">
      <c r="A16" s="20" t="inlineStr">
        <is>
          <t>合计</t>
        </is>
      </c>
      <c r="B16" s="21" t="n">
        <v>126</v>
      </c>
      <c r="C16" s="21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2026-03-15T16:49:42Z</dcterms:created>
  <dcterms:modified xmlns:dcterms="http://purl.org/dc/terms/" xmlns:xsi="http://www.w3.org/2001/XMLSchema-instance" xsi:type="dcterms:W3CDTF">2026-03-15T16:49:42Z</dcterms:modified>
</cp:coreProperties>
</file>